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klimas001\Desktop\Improvmenty\Depozytariusze TFI\Czesc druga\"/>
    </mc:Choice>
  </mc:AlternateContent>
  <xr:revisionPtr revIDLastSave="0" documentId="13_ncr:1_{BB47A36D-BE9E-4F3E-9EB2-58A3743F05EC}" xr6:coauthVersionLast="44" xr6:coauthVersionMax="44" xr10:uidLastSave="{00000000-0000-0000-0000-000000000000}"/>
  <bookViews>
    <workbookView xWindow="-110" yWindow="-110" windowWidth="19420" windowHeight="10560" activeTab="1" xr2:uid="{1D1DE27B-31C5-4652-8F74-FCC2EBC8E051}"/>
  </bookViews>
  <sheets>
    <sheet name="Template" sheetId="1" r:id="rId1"/>
    <sheet name="Lista Funduszy" sheetId="2" r:id="rId2"/>
    <sheet name="Info" sheetId="3" state="veryHidden" r:id="rId3"/>
  </sheets>
  <functionGroups builtInGroupCount="19"/>
  <definedNames>
    <definedName name="FirstFundNr">'Lista Funduszy'!$B$3</definedName>
    <definedName name="FRVesrion">'Lista Funduszy'!$L$2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3" l="1"/>
  <c r="E6" i="3"/>
  <c r="E5" i="3"/>
  <c r="E4" i="3"/>
  <c r="E3" i="3"/>
  <c r="N6" i="1"/>
  <c r="N5" i="1"/>
  <c r="M7" i="1"/>
  <c r="I7" i="1"/>
  <c r="B3" i="3"/>
  <c r="K7" i="1" l="1"/>
  <c r="J7" i="1"/>
  <c r="N7" i="1"/>
</calcChain>
</file>

<file path=xl/sharedStrings.xml><?xml version="1.0" encoding="utf-8"?>
<sst xmlns="http://schemas.openxmlformats.org/spreadsheetml/2006/main" count="173" uniqueCount="150">
  <si>
    <t>DOCUMENTATION OF SAMPLE</t>
  </si>
  <si>
    <t>Sample number</t>
  </si>
  <si>
    <t>G/L account number</t>
  </si>
  <si>
    <t>G/L account 
name</t>
  </si>
  <si>
    <t>Investment description</t>
  </si>
  <si>
    <t>Nazwa instrumentu</t>
  </si>
  <si>
    <t>Currency</t>
  </si>
  <si>
    <t>Investment reference
(ticker symbol, CUSIP number)</t>
  </si>
  <si>
    <t>Quantity per detailed listing, if applicable</t>
  </si>
  <si>
    <t>Investment cost per detailed listing, if applicable</t>
  </si>
  <si>
    <t>Investment value per detailed listing, if applicable</t>
  </si>
  <si>
    <t>Confirm investments, including commitments, margin and collateral</t>
  </si>
  <si>
    <t>ISIN agreed?</t>
  </si>
  <si>
    <t>Quantity per confirmation, if applicable</t>
  </si>
  <si>
    <t xml:space="preserve">Difference between quantity per confirmation and detailed listing
</t>
  </si>
  <si>
    <t>Confirmation response is received</t>
  </si>
  <si>
    <t>Notes</t>
  </si>
  <si>
    <t>Typ instrumentu</t>
  </si>
  <si>
    <t>ISIN</t>
  </si>
  <si>
    <t>ILOŚĆ</t>
  </si>
  <si>
    <t>WARTOŚĆ NABYCIA</t>
  </si>
  <si>
    <t>WARTOŚĆ BILANSOWA</t>
  </si>
  <si>
    <t>Hyperlink</t>
  </si>
  <si>
    <t>Lista funduszy</t>
  </si>
  <si>
    <t>Numer Funduszu</t>
  </si>
  <si>
    <t>Nazwa funduszu</t>
  </si>
  <si>
    <t>Znaleziony ISIN</t>
  </si>
  <si>
    <t>Liczba ilosci w znalezionym wierszu</t>
  </si>
  <si>
    <t>Numer wiersza gdzie znaleziono ISIN</t>
  </si>
  <si>
    <t>Kolumna w której znaleziono kwote</t>
  </si>
  <si>
    <t>Ilość ISIN-ów w OCR</t>
  </si>
  <si>
    <t>A</t>
  </si>
  <si>
    <t>B</t>
  </si>
  <si>
    <t>Ilość</t>
  </si>
  <si>
    <t xml:space="preserve">Wartosc nabycia </t>
  </si>
  <si>
    <t>Wartosc bilansowa</t>
  </si>
  <si>
    <t>Kolumna</t>
  </si>
  <si>
    <t>D</t>
  </si>
  <si>
    <t>Mapping</t>
  </si>
  <si>
    <t>W template</t>
  </si>
  <si>
    <t>Z list</t>
  </si>
  <si>
    <t>E</t>
  </si>
  <si>
    <t>H</t>
  </si>
  <si>
    <t>I</t>
  </si>
  <si>
    <t>J</t>
  </si>
  <si>
    <t>K</t>
  </si>
  <si>
    <t>F</t>
  </si>
  <si>
    <t>G</t>
  </si>
  <si>
    <t>Ctrl+Shift+U</t>
  </si>
  <si>
    <t>Makro matchujace dane z OCR</t>
  </si>
  <si>
    <t>Ctrl+Shift+M</t>
  </si>
  <si>
    <t>Y</t>
  </si>
  <si>
    <t>FR Vesrion</t>
  </si>
  <si>
    <t>N</t>
  </si>
  <si>
    <t>FR Version</t>
  </si>
  <si>
    <r>
      <rPr>
        <b/>
        <sz val="11"/>
        <color theme="1"/>
        <rFont val="Calibri"/>
        <family val="2"/>
        <charset val="238"/>
        <scheme val="minor"/>
      </rPr>
      <t>Patryk:</t>
    </r>
    <r>
      <rPr>
        <sz val="11"/>
        <color theme="1"/>
        <rFont val="Calibri"/>
        <family val="2"/>
        <charset val="238"/>
        <scheme val="minor"/>
      </rPr>
      <t xml:space="preserve">
Tu musi byc kolumna w ktorej sa nazwy z kolumny B.</t>
    </r>
  </si>
  <si>
    <t>Makro wstawiajace wiersze do samplingu + zmienia FR Version</t>
  </si>
  <si>
    <t>AA</t>
  </si>
  <si>
    <t>AB</t>
  </si>
  <si>
    <t>C</t>
  </si>
  <si>
    <t>L</t>
  </si>
  <si>
    <t>M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</si>
  <si>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</si>
  <si>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</si>
  <si>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</si>
  <si>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</si>
  <si>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</si>
  <si>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</si>
  <si>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</si>
  <si>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</si>
  <si>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</si>
  <si>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</si>
  <si>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</si>
  <si>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</si>
  <si>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</si>
  <si>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</si>
  <si>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</si>
  <si>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</si>
  <si>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</si>
  <si>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</si>
  <si>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</si>
  <si>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</si>
  <si>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</si>
  <si>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</si>
  <si>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</si>
  <si>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</si>
  <si>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</si>
  <si>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</si>
  <si>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</si>
  <si>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</si>
  <si>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</si>
  <si>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</si>
  <si>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</si>
  <si>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</si>
  <si>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</si>
  <si>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</si>
  <si>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</si>
  <si>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</si>
  <si>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</si>
  <si>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</si>
  <si>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</si>
  <si>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</si>
  <si>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</si>
  <si>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</si>
  <si>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</si>
  <si>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</si>
  <si>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</si>
  <si>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</si>
  <si>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</si>
  <si>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</si>
  <si>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</si>
  <si>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</si>
  <si>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</si>
  <si>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</si>
  <si>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</si>
  <si>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</si>
  <si>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</si>
  <si>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</si>
  <si>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</si>
  <si>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</si>
  <si>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</si>
  <si>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</si>
  <si>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</si>
  <si>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</si>
  <si>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</si>
  <si>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</si>
  <si>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</si>
  <si>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</si>
  <si>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</si>
  <si>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</si>
  <si>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</si>
  <si>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</si>
  <si>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</si>
  <si>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</si>
  <si>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</si>
  <si>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</si>
  <si>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</si>
  <si>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</si>
  <si>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</si>
  <si>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</si>
  <si>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</si>
  <si>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</si>
  <si>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</si>
  <si>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</si>
  <si>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</si>
  <si>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</si>
  <si>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</si>
  <si>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</si>
  <si>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</si>
  <si>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Przykladowy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</si>
</sst>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);\(#,##0.00\)"/>
  </numFmts>
  <fonts count="7">
    <font>
      <sz val="11"/>
      <color theme="1"/>
      <name val="Calibri"/>
      <family val="2"/>
      <charset val="238"/>
      <scheme val="minor"/>
    </font>
    <font>
      <b/>
      <sz val="10"/>
      <color theme="1"/>
      <name val="Georgia"/>
      <family val="1"/>
      <charset val="238"/>
    </font>
    <font>
      <b/>
      <sz val="9"/>
      <color theme="0"/>
      <name val="Georgia"/>
      <family val="1"/>
      <charset val="238"/>
    </font>
    <font>
      <b/>
      <sz val="16"/>
      <color theme="0"/>
      <name val="Georgia"/>
      <family val="1"/>
      <charset val="238"/>
    </font>
    <font>
      <b/>
      <sz val="9"/>
      <color theme="0"/>
      <name val="Georgia"/>
      <family val="1"/>
    </font>
    <font>
      <b/>
      <i/>
      <sz val="9"/>
      <color theme="5"/>
      <name val="Georgia"/>
      <family val="1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gradientFill degree="90">
        <stop position="0">
          <color theme="2" tint="0.80001220740379042"/>
        </stop>
        <stop position="1">
          <color rgb="FF990000"/>
        </stop>
      </gradientFill>
    </fill>
    <fill>
      <patternFill patternType="solid">
        <fgColor rgb="FFFF9900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2" fillId="2" borderId="6" xfId="0" applyFont="1" applyFill="1" applyBorder="1" applyAlignment="1" applyProtection="1">
      <alignment horizontal="center" vertical="top" wrapText="1" shrinkToFit="1"/>
    </xf>
    <xf numFmtId="0" fontId="2" fillId="4" borderId="6" xfId="0" applyFont="1" applyFill="1" applyBorder="1" applyAlignment="1" applyProtection="1">
      <alignment horizontal="center" vertical="top" wrapText="1" shrinkToFit="1"/>
    </xf>
    <xf numFmtId="1" fontId="5" fillId="5" borderId="3" xfId="0" applyNumberFormat="1" applyFont="1" applyFill="1" applyBorder="1" applyAlignment="1" applyProtection="1">
      <alignment vertical="top" wrapText="1"/>
    </xf>
    <xf numFmtId="0" fontId="2" fillId="2" borderId="3" xfId="0" applyFont="1" applyFill="1" applyBorder="1" applyAlignment="1" applyProtection="1">
      <alignment horizontal="center" vertical="top" wrapText="1" shrinkToFit="1"/>
    </xf>
    <xf numFmtId="0" fontId="2" fillId="4" borderId="3" xfId="0" applyFont="1" applyFill="1" applyBorder="1" applyAlignment="1" applyProtection="1">
      <alignment horizontal="center" vertical="top" wrapText="1" shrinkToFit="1"/>
    </xf>
    <xf numFmtId="0" fontId="2" fillId="4" borderId="3" xfId="0" applyFont="1" applyFill="1" applyBorder="1" applyAlignment="1" applyProtection="1">
      <alignment horizontal="center" vertical="top" wrapText="1"/>
    </xf>
    <xf numFmtId="0" fontId="2" fillId="2" borderId="6" xfId="0" applyFont="1" applyFill="1" applyBorder="1" applyAlignment="1" applyProtection="1">
      <alignment vertical="top" wrapText="1" shrinkToFit="1"/>
    </xf>
    <xf numFmtId="1" fontId="5" fillId="5" borderId="3" xfId="0" applyNumberFormat="1" applyFont="1" applyFill="1" applyBorder="1" applyAlignment="1" applyProtection="1">
      <alignment horizontal="center" vertical="top" wrapText="1"/>
    </xf>
    <xf numFmtId="0" fontId="2" fillId="4" borderId="6" xfId="0" applyFont="1" applyFill="1" applyBorder="1" applyAlignment="1" applyProtection="1">
      <alignment horizontal="center" vertical="top" wrapText="1"/>
    </xf>
    <xf numFmtId="0" fontId="2" fillId="2" borderId="6" xfId="0" applyFont="1" applyFill="1" applyBorder="1" applyAlignment="1" applyProtection="1">
      <alignment horizontal="center" vertical="center" wrapText="1" shrinkToFit="1"/>
    </xf>
    <xf numFmtId="1" fontId="5" fillId="5" borderId="6" xfId="0" applyNumberFormat="1" applyFont="1" applyFill="1" applyBorder="1" applyAlignment="1" applyProtection="1">
      <alignment horizontal="center" vertical="top" wrapText="1"/>
    </xf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9" xfId="0" applyBorder="1"/>
    <xf numFmtId="0" fontId="0" fillId="0" borderId="18" xfId="0" applyBorder="1"/>
    <xf numFmtId="1" fontId="0" fillId="0" borderId="19" xfId="0" applyNumberFormat="1" applyBorder="1"/>
    <xf numFmtId="0" fontId="0" fillId="0" borderId="25" xfId="0" applyBorder="1"/>
    <xf numFmtId="1" fontId="0" fillId="0" borderId="26" xfId="0" applyNumberFormat="1" applyBorder="1"/>
    <xf numFmtId="1" fontId="0" fillId="0" borderId="21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5" fillId="5" borderId="3" xfId="0" applyNumberFormat="1" applyFont="1" applyFill="1" applyBorder="1" applyAlignment="1" applyProtection="1">
      <alignment vertical="center" wrapText="1"/>
    </xf>
    <xf numFmtId="1" fontId="5" fillId="5" borderId="3" xfId="0" applyNumberFormat="1" applyFont="1" applyFill="1" applyBorder="1" applyAlignment="1" applyProtection="1">
      <alignment horizontal="center" vertical="center" wrapText="1"/>
    </xf>
    <xf numFmtId="1" fontId="5" fillId="5" borderId="3" xfId="0" quotePrefix="1" applyNumberFormat="1" applyFont="1" applyFill="1" applyBorder="1" applyAlignment="1" applyProtection="1">
      <alignment vertical="center" wrapText="1"/>
    </xf>
    <xf numFmtId="1" fontId="5" fillId="5" borderId="6" xfId="0" applyNumberFormat="1" applyFont="1" applyFill="1" applyBorder="1" applyAlignment="1" applyProtection="1">
      <alignment vertical="center" wrapText="1"/>
    </xf>
    <xf numFmtId="1" fontId="5" fillId="5" borderId="6" xfId="0" applyNumberFormat="1" applyFont="1" applyFill="1" applyBorder="1" applyAlignment="1" applyProtection="1">
      <alignment horizontal="center" vertical="center" wrapText="1"/>
    </xf>
    <xf numFmtId="49" fontId="5" fillId="5" borderId="3" xfId="0" applyNumberFormat="1" applyFont="1" applyFill="1" applyBorder="1" applyAlignment="1" applyProtection="1">
      <alignment vertical="center" wrapText="1"/>
    </xf>
    <xf numFmtId="49" fontId="5" fillId="5" borderId="6" xfId="0" applyNumberFormat="1" applyFont="1" applyFill="1" applyBorder="1" applyAlignment="1" applyProtection="1">
      <alignment vertical="center" wrapText="1"/>
    </xf>
    <xf numFmtId="164" fontId="5" fillId="5" borderId="3" xfId="0" applyNumberFormat="1" applyFont="1" applyFill="1" applyBorder="1" applyAlignment="1" applyProtection="1">
      <alignment vertical="center" wrapText="1"/>
    </xf>
    <xf numFmtId="164" fontId="5" fillId="5" borderId="6" xfId="0" applyNumberFormat="1" applyFont="1" applyFill="1" applyBorder="1" applyAlignment="1" applyProtection="1">
      <alignment vertical="center" wrapText="1"/>
    </xf>
    <xf numFmtId="164" fontId="5" fillId="5" borderId="8" xfId="0" applyNumberFormat="1" applyFont="1" applyFill="1" applyBorder="1" applyAlignment="1" applyProtection="1">
      <alignment vertical="top" wrapText="1"/>
    </xf>
    <xf numFmtId="164" fontId="5" fillId="5" borderId="3" xfId="0" applyNumberFormat="1" applyFont="1" applyFill="1" applyBorder="1" applyAlignment="1" applyProtection="1">
      <alignment horizontal="right" vertical="center" wrapText="1"/>
    </xf>
    <xf numFmtId="164" fontId="5" fillId="5" borderId="6" xfId="0" applyNumberFormat="1" applyFont="1" applyFill="1" applyBorder="1" applyAlignment="1" applyProtection="1">
      <alignment horizontal="right" vertical="center" wrapText="1"/>
    </xf>
    <xf numFmtId="0" fontId="4" fillId="4" borderId="6" xfId="0" applyFont="1" applyFill="1" applyBorder="1" applyAlignment="1" applyProtection="1">
      <alignment horizontal="center" vertical="center" wrapText="1" shrinkToFit="1"/>
    </xf>
    <xf numFmtId="0" fontId="2" fillId="4" borderId="6" xfId="0" applyFont="1" applyFill="1" applyBorder="1" applyAlignment="1" applyProtection="1">
      <alignment horizontal="center" vertical="top" wrapText="1"/>
    </xf>
    <xf numFmtId="0" fontId="3" fillId="2" borderId="4" xfId="0" applyFont="1" applyFill="1" applyBorder="1" applyAlignment="1" applyProtection="1">
      <alignment horizontal="left" vertical="center" wrapText="1"/>
    </xf>
    <xf numFmtId="0" fontId="3" fillId="2" borderId="5" xfId="0" applyFont="1" applyFill="1" applyBorder="1" applyAlignment="1" applyProtection="1">
      <alignment horizontal="left" vertical="center" wrapText="1"/>
    </xf>
    <xf numFmtId="0" fontId="1" fillId="3" borderId="1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horizontal="center" vertical="center"/>
    </xf>
    <xf numFmtId="0" fontId="1" fillId="3" borderId="2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top" wrapText="1" shrinkToFit="1"/>
    </xf>
    <xf numFmtId="0" fontId="4" fillId="4" borderId="3" xfId="0" applyFont="1" applyFill="1" applyBorder="1" applyAlignment="1" applyProtection="1">
      <alignment horizontal="center" vertical="top" wrapText="1" shrinkToFit="1"/>
    </xf>
    <xf numFmtId="0" fontId="2" fillId="2" borderId="6" xfId="0" applyFont="1" applyFill="1" applyBorder="1" applyAlignment="1" applyProtection="1">
      <alignment horizontal="center" vertical="top" wrapText="1" shrinkToFi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1">
    <cellStyle name="Normal" xfId="0" builtinId="0"/>
  </cellStyles>
  <dxfs count="4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177800</xdr:rowOff>
    </xdr:from>
    <xdr:to>
      <xdr:col>8</xdr:col>
      <xdr:colOff>6350</xdr:colOff>
      <xdr:row>4</xdr:row>
      <xdr:rowOff>152400</xdr:rowOff>
    </xdr:to>
    <xdr:sp macro="[0]!MainMacro" textlink="">
      <xdr:nvSpPr>
        <xdr:cNvPr id="2" name="Rectangle 1">
          <a:extLst>
            <a:ext uri="{FF2B5EF4-FFF2-40B4-BE49-F238E27FC236}">
              <a16:creationId xmlns:a16="http://schemas.microsoft.com/office/drawing/2014/main" id="{3E8821A6-2CF5-4241-9829-0A63D7126DE3}"/>
            </a:ext>
          </a:extLst>
        </xdr:cNvPr>
        <xdr:cNvSpPr/>
      </xdr:nvSpPr>
      <xdr:spPr>
        <a:xfrm>
          <a:off x="3810000" y="358775"/>
          <a:ext cx="2349500" cy="517525"/>
        </a:xfrm>
        <a:prstGeom prst="rect">
          <a:avLst/>
        </a:prstGeom>
        <a:solidFill>
          <a:srgbClr val="99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 b="1">
              <a:solidFill>
                <a:schemeClr val="bg1"/>
              </a:solidFill>
              <a:latin typeface="Georgia" panose="02040502050405020303" pitchFamily="18" charset="0"/>
            </a:rPr>
            <a:t>Create</a:t>
          </a:r>
          <a:r>
            <a:rPr lang="en-GB" sz="1500" b="1">
              <a:solidFill>
                <a:schemeClr val="tx1"/>
              </a:solidFill>
              <a:latin typeface="Georgia" panose="02040502050405020303" pitchFamily="18" charset="0"/>
            </a:rPr>
            <a:t> </a:t>
          </a:r>
          <a:r>
            <a:rPr lang="en-GB" sz="1500" b="1">
              <a:solidFill>
                <a:schemeClr val="bg1"/>
              </a:solidFill>
              <a:latin typeface="Georgia" panose="02040502050405020303" pitchFamily="18" charset="0"/>
            </a:rPr>
            <a:t>Template</a:t>
          </a:r>
        </a:p>
      </xdr:txBody>
    </xdr:sp>
    <xdr:clientData/>
  </xdr:twoCellAnchor>
  <xdr:twoCellAnchor>
    <xdr:from>
      <xdr:col>4</xdr:col>
      <xdr:colOff>101600</xdr:colOff>
      <xdr:row>1</xdr:row>
      <xdr:rowOff>174625</xdr:rowOff>
    </xdr:from>
    <xdr:to>
      <xdr:col>8</xdr:col>
      <xdr:colOff>12700</xdr:colOff>
      <xdr:row>4</xdr:row>
      <xdr:rowOff>149225</xdr:rowOff>
    </xdr:to>
    <xdr:sp macro="[0]!MainMacro" textlink="">
      <xdr:nvSpPr>
        <xdr:cNvPr id="3" name="Rectangle 2">
          <a:extLst>
            <a:ext uri="{FF2B5EF4-FFF2-40B4-BE49-F238E27FC236}">
              <a16:creationId xmlns:a16="http://schemas.microsoft.com/office/drawing/2014/main" id="{206B8620-E853-4E16-9860-7E6F6D632E95}"/>
            </a:ext>
          </a:extLst>
        </xdr:cNvPr>
        <xdr:cNvSpPr/>
      </xdr:nvSpPr>
      <xdr:spPr>
        <a:xfrm>
          <a:off x="3810000" y="358775"/>
          <a:ext cx="2349500" cy="527050"/>
        </a:xfrm>
        <a:prstGeom prst="rect">
          <a:avLst/>
        </a:prstGeom>
        <a:solidFill>
          <a:srgbClr val="99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 b="1">
              <a:solidFill>
                <a:schemeClr val="bg1"/>
              </a:solidFill>
              <a:latin typeface="Georgia" panose="02040502050405020303" pitchFamily="18" charset="0"/>
            </a:rPr>
            <a:t>Create</a:t>
          </a:r>
          <a:r>
            <a:rPr lang="en-GB" sz="1500" b="1">
              <a:solidFill>
                <a:schemeClr val="tx1"/>
              </a:solidFill>
              <a:latin typeface="Georgia" panose="02040502050405020303" pitchFamily="18" charset="0"/>
            </a:rPr>
            <a:t> </a:t>
          </a:r>
          <a:r>
            <a:rPr lang="en-GB" sz="1500" b="1">
              <a:solidFill>
                <a:schemeClr val="bg1"/>
              </a:solidFill>
              <a:latin typeface="Georgia" panose="02040502050405020303" pitchFamily="18" charset="0"/>
            </a:rPr>
            <a:t>Template</a:t>
          </a:r>
        </a:p>
      </xdr:txBody>
    </xdr:sp>
    <xdr:clientData/>
  </xdr:twoCellAnchor>
  <xdr:twoCellAnchor>
    <xdr:from>
      <xdr:col>4</xdr:col>
      <xdr:colOff>95250</xdr:colOff>
      <xdr:row>5</xdr:row>
      <xdr:rowOff>47625</xdr:rowOff>
    </xdr:from>
    <xdr:to>
      <xdr:col>8</xdr:col>
      <xdr:colOff>6350</xdr:colOff>
      <xdr:row>8</xdr:row>
      <xdr:rowOff>22225</xdr:rowOff>
    </xdr:to>
    <xdr:sp macro="[0]!FinalizeRequest" textlink="">
      <xdr:nvSpPr>
        <xdr:cNvPr id="4" name="Rectangle 3">
          <a:extLst>
            <a:ext uri="{FF2B5EF4-FFF2-40B4-BE49-F238E27FC236}">
              <a16:creationId xmlns:a16="http://schemas.microsoft.com/office/drawing/2014/main" id="{574E84CB-2209-47C0-8400-3809873E616E}"/>
            </a:ext>
          </a:extLst>
        </xdr:cNvPr>
        <xdr:cNvSpPr/>
      </xdr:nvSpPr>
      <xdr:spPr>
        <a:xfrm>
          <a:off x="3803650" y="968375"/>
          <a:ext cx="2349500" cy="527050"/>
        </a:xfrm>
        <a:prstGeom prst="rect">
          <a:avLst/>
        </a:prstGeom>
        <a:solidFill>
          <a:srgbClr val="99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 b="1">
              <a:solidFill>
                <a:schemeClr val="bg1"/>
              </a:solidFill>
              <a:latin typeface="Georgia" panose="02040502050405020303" pitchFamily="18" charset="0"/>
            </a:rPr>
            <a:t>Finalize</a:t>
          </a:r>
          <a:r>
            <a:rPr lang="en-GB" sz="1500" b="1" baseline="0">
              <a:solidFill>
                <a:schemeClr val="bg1"/>
              </a:solidFill>
              <a:latin typeface="Georgia" panose="02040502050405020303" pitchFamily="18" charset="0"/>
            </a:rPr>
            <a:t> request</a:t>
          </a:r>
          <a:endParaRPr lang="en-GB" sz="1500" b="1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1238252</xdr:colOff>
      <xdr:row>2</xdr:row>
      <xdr:rowOff>9527</xdr:rowOff>
    </xdr:from>
    <xdr:to>
      <xdr:col>4</xdr:col>
      <xdr:colOff>519546</xdr:colOff>
      <xdr:row>16</xdr:row>
      <xdr:rowOff>184728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C94E46A2-4599-497B-8225-97666FD3C55E}"/>
            </a:ext>
          </a:extLst>
        </xdr:cNvPr>
        <xdr:cNvCxnSpPr/>
      </xdr:nvCxnSpPr>
      <xdr:spPr>
        <a:xfrm flipH="1" flipV="1">
          <a:off x="2485161" y="378982"/>
          <a:ext cx="1752021" cy="27613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8</xdr:row>
      <xdr:rowOff>152400</xdr:rowOff>
    </xdr:from>
    <xdr:to>
      <xdr:col>8</xdr:col>
      <xdr:colOff>15875</xdr:colOff>
      <xdr:row>11</xdr:row>
      <xdr:rowOff>133350</xdr:rowOff>
    </xdr:to>
    <xdr:sp macro="[0]!SamplesCreateFromRowData" textlink="">
      <xdr:nvSpPr>
        <xdr:cNvPr id="7" name="Rectangle 6">
          <a:extLst>
            <a:ext uri="{FF2B5EF4-FFF2-40B4-BE49-F238E27FC236}">
              <a16:creationId xmlns:a16="http://schemas.microsoft.com/office/drawing/2014/main" id="{5FF0E620-1AD5-44EA-9A59-B8FD5C3763FA}"/>
            </a:ext>
          </a:extLst>
        </xdr:cNvPr>
        <xdr:cNvSpPr/>
      </xdr:nvSpPr>
      <xdr:spPr>
        <a:xfrm>
          <a:off x="3819525" y="1600200"/>
          <a:ext cx="2349500" cy="523875"/>
        </a:xfrm>
        <a:prstGeom prst="rect">
          <a:avLst/>
        </a:prstGeom>
        <a:solidFill>
          <a:srgbClr val="99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 b="1">
              <a:solidFill>
                <a:schemeClr val="bg1"/>
              </a:solidFill>
              <a:latin typeface="Georgia" panose="02040502050405020303" pitchFamily="18" charset="0"/>
            </a:rPr>
            <a:t>Samples </a:t>
          </a:r>
          <a:r>
            <a:rPr lang="en-GB" sz="1500" b="1" baseline="0">
              <a:solidFill>
                <a:schemeClr val="bg1"/>
              </a:solidFill>
              <a:latin typeface="Georgia" panose="02040502050405020303" pitchFamily="18" charset="0"/>
            </a:rPr>
            <a:t>from report</a:t>
          </a:r>
          <a:endParaRPr lang="en-GB" sz="1500" b="1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10</xdr:col>
      <xdr:colOff>330200</xdr:colOff>
      <xdr:row>16</xdr:row>
      <xdr:rowOff>46182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53C7583A-BC70-44EF-96AB-4C5C90856A03}"/>
            </a:ext>
          </a:extLst>
        </xdr:cNvPr>
        <xdr:cNvCxnSpPr/>
      </xdr:nvCxnSpPr>
      <xdr:spPr>
        <a:xfrm flipV="1">
          <a:off x="6165273" y="1203614"/>
          <a:ext cx="1750291" cy="179820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F3A32-066A-44CA-A4DD-6A8D4FEF6A31}">
  <sheetPr codeName="Sheet1"/>
  <dimension ref="B1:AC16"/>
  <sheetViews>
    <sheetView showGridLines="0" zoomScale="60" zoomScaleNormal="60" workbookViewId="0">
      <selection activeCell="J16" sqref="J16"/>
    </sheetView>
  </sheetViews>
  <sheetFormatPr defaultRowHeight="14.5"/>
  <cols>
    <col min="1" max="1" width="1" customWidth="1"/>
    <col min="2" max="2" width="11.81640625" customWidth="1"/>
    <col min="3" max="3" width="10.54296875" customWidth="1"/>
    <col min="4" max="4" width="11.453125" customWidth="1"/>
    <col min="5" max="5" width="14.453125" customWidth="1"/>
    <col min="6" max="6" width="16.81640625" customWidth="1"/>
    <col min="7" max="7" width="10.54296875" customWidth="1"/>
    <col min="8" max="8" width="19.1796875" bestFit="1" customWidth="1"/>
    <col min="9" max="9" width="14" bestFit="1" customWidth="1"/>
    <col min="10" max="11" width="17.36328125" bestFit="1" customWidth="1"/>
    <col min="12" max="12" width="13.54296875" customWidth="1"/>
    <col min="13" max="13" width="14.6328125" customWidth="1"/>
    <col min="14" max="14" width="20.90625" customWidth="1"/>
    <col min="15" max="15" width="17.54296875" customWidth="1"/>
    <col min="16" max="16" width="34.6328125" customWidth="1"/>
    <col min="17" max="18" width="4.90625" customWidth="1"/>
    <col min="19" max="19" width="14.81640625" customWidth="1"/>
    <col min="20" max="20" width="24.81640625" customWidth="1"/>
    <col min="21" max="21" width="22.1796875" customWidth="1"/>
    <col min="22" max="22" width="11.81640625" customWidth="1"/>
    <col min="23" max="23" width="22" customWidth="1"/>
  </cols>
  <sheetData>
    <row r="1" spans="2:29" ht="20" customHeight="1">
      <c r="B1" s="41" t="s">
        <v>11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</row>
    <row r="2" spans="2:29">
      <c r="B2" s="43" t="s">
        <v>0</v>
      </c>
      <c r="C2" s="44"/>
      <c r="D2" s="44"/>
      <c r="E2" s="44"/>
      <c r="F2" s="44"/>
      <c r="G2" s="44"/>
      <c r="H2" s="44"/>
      <c r="I2" s="44"/>
      <c r="J2" s="44"/>
      <c r="K2" s="45"/>
      <c r="L2" s="39" t="s">
        <v>15</v>
      </c>
      <c r="M2" s="39"/>
      <c r="N2" s="39"/>
      <c r="O2" s="46" t="s">
        <v>22</v>
      </c>
      <c r="P2" s="40" t="s">
        <v>16</v>
      </c>
    </row>
    <row r="3" spans="2:29" ht="53.5" customHeight="1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2" t="s">
        <v>12</v>
      </c>
      <c r="M3" s="2" t="s">
        <v>13</v>
      </c>
      <c r="N3" s="2" t="s">
        <v>14</v>
      </c>
      <c r="O3" s="47"/>
      <c r="P3" s="40"/>
    </row>
    <row r="4" spans="2:29" ht="23">
      <c r="B4" s="4"/>
      <c r="C4" s="4"/>
      <c r="D4" s="4"/>
      <c r="E4" s="4" t="s">
        <v>17</v>
      </c>
      <c r="F4" s="4"/>
      <c r="G4" s="4"/>
      <c r="H4" s="4" t="s">
        <v>18</v>
      </c>
      <c r="I4" s="4" t="s">
        <v>19</v>
      </c>
      <c r="J4" s="4" t="s">
        <v>20</v>
      </c>
      <c r="K4" s="4" t="s">
        <v>21</v>
      </c>
      <c r="L4" s="5"/>
      <c r="M4" s="5" t="s">
        <v>19</v>
      </c>
      <c r="N4" s="5"/>
      <c r="O4" s="5"/>
      <c r="P4" s="6"/>
      <c r="S4" s="9" t="s">
        <v>30</v>
      </c>
      <c r="T4" s="9" t="s">
        <v>28</v>
      </c>
      <c r="U4" s="9" t="s">
        <v>29</v>
      </c>
      <c r="V4" s="9" t="s">
        <v>26</v>
      </c>
      <c r="W4" s="9" t="s">
        <v>27</v>
      </c>
    </row>
    <row r="5" spans="2:29" s="25" customFormat="1">
      <c r="B5" s="27">
        <v>1</v>
      </c>
      <c r="C5" s="27"/>
      <c r="D5" s="27"/>
      <c r="E5" s="32"/>
      <c r="F5" s="27"/>
      <c r="G5" s="27"/>
      <c r="H5" s="32"/>
      <c r="I5" s="34"/>
      <c r="J5" s="34"/>
      <c r="K5" s="34"/>
      <c r="L5" s="28"/>
      <c r="M5" s="37"/>
      <c r="N5" s="34">
        <f>I5-M5</f>
        <v>0</v>
      </c>
      <c r="O5" s="27"/>
      <c r="P5" s="29"/>
    </row>
    <row r="6" spans="2:29" s="25" customFormat="1">
      <c r="B6" s="30">
        <v>2</v>
      </c>
      <c r="C6" s="30"/>
      <c r="D6" s="30"/>
      <c r="E6" s="33"/>
      <c r="F6" s="30"/>
      <c r="G6" s="30"/>
      <c r="H6" s="33"/>
      <c r="I6" s="35"/>
      <c r="J6" s="35"/>
      <c r="K6" s="35"/>
      <c r="L6" s="31"/>
      <c r="M6" s="38"/>
      <c r="N6" s="35">
        <f t="shared" ref="N6" si="0">I6-M6</f>
        <v>0</v>
      </c>
      <c r="O6" s="30"/>
      <c r="P6" s="30"/>
    </row>
    <row r="7" spans="2:29" ht="15" thickBot="1">
      <c r="I7" s="36">
        <f>SUM(I5:I6)</f>
        <v>0</v>
      </c>
      <c r="J7" s="36">
        <f>SUM(J5:J6)</f>
        <v>0</v>
      </c>
      <c r="K7" s="36">
        <f>SUM(K5:K6)</f>
        <v>0</v>
      </c>
      <c r="M7" s="36">
        <f>SUM(M5:M6)</f>
        <v>0</v>
      </c>
      <c r="N7" s="36">
        <f>SUM(N5:N6)</f>
        <v>0</v>
      </c>
    </row>
    <row r="16" spans="2:29">
      <c r="AC16" s="26"/>
    </row>
  </sheetData>
  <dataConsolidate/>
  <mergeCells count="5">
    <mergeCell ref="L2:N2"/>
    <mergeCell ref="P2:P3"/>
    <mergeCell ref="B1:P1"/>
    <mergeCell ref="B2:K2"/>
    <mergeCell ref="O2:O3"/>
  </mergeCells>
  <conditionalFormatting sqref="B3:K4 B5:P6">
    <cfRule type="cellIs" dxfId="44" priority="32" operator="equal">
      <formula>"o/s"</formula>
    </cfRule>
  </conditionalFormatting>
  <conditionalFormatting sqref="B3:K4 B5:P6">
    <cfRule type="cellIs" dxfId="43" priority="31" operator="equal">
      <formula>"No"</formula>
    </cfRule>
  </conditionalFormatting>
  <conditionalFormatting sqref="B1">
    <cfRule type="cellIs" dxfId="42" priority="30" operator="equal">
      <formula>"o/s"</formula>
    </cfRule>
  </conditionalFormatting>
  <conditionalFormatting sqref="B1">
    <cfRule type="cellIs" dxfId="41" priority="27" operator="equal">
      <formula>"No"</formula>
    </cfRule>
  </conditionalFormatting>
  <conditionalFormatting sqref="P2">
    <cfRule type="cellIs" dxfId="40" priority="19" operator="equal">
      <formula>"No"</formula>
    </cfRule>
  </conditionalFormatting>
  <conditionalFormatting sqref="L3:M4">
    <cfRule type="cellIs" dxfId="39" priority="26" operator="equal">
      <formula>"o/s"</formula>
    </cfRule>
  </conditionalFormatting>
  <conditionalFormatting sqref="L4:O4 L3:N3">
    <cfRule type="cellIs" dxfId="38" priority="25" operator="equal">
      <formula>"No"</formula>
    </cfRule>
  </conditionalFormatting>
  <conditionalFormatting sqref="L2 P2">
    <cfRule type="cellIs" dxfId="37" priority="24" operator="equal">
      <formula>"o/s"</formula>
    </cfRule>
  </conditionalFormatting>
  <conditionalFormatting sqref="L2 P2">
    <cfRule type="cellIs" dxfId="36" priority="21" operator="equal">
      <formula>"No"</formula>
    </cfRule>
  </conditionalFormatting>
  <conditionalFormatting sqref="P2">
    <cfRule type="cellIs" dxfId="35" priority="20" operator="equal">
      <formula>"o/s"</formula>
    </cfRule>
  </conditionalFormatting>
  <conditionalFormatting sqref="B2:K2">
    <cfRule type="cellIs" dxfId="34" priority="17" operator="equal">
      <formula>"No"</formula>
    </cfRule>
  </conditionalFormatting>
  <conditionalFormatting sqref="B2:K2">
    <cfRule type="cellIs" dxfId="33" priority="18" operator="equal">
      <formula>"o/s"</formula>
    </cfRule>
  </conditionalFormatting>
  <conditionalFormatting sqref="M7:N7">
    <cfRule type="cellIs" dxfId="32" priority="8" operator="equal">
      <formula>"No"</formula>
    </cfRule>
  </conditionalFormatting>
  <conditionalFormatting sqref="I7:K7">
    <cfRule type="cellIs" dxfId="31" priority="11" operator="equal">
      <formula>"o/s"</formula>
    </cfRule>
  </conditionalFormatting>
  <conditionalFormatting sqref="I7:K7">
    <cfRule type="cellIs" dxfId="30" priority="10" operator="equal">
      <formula>"No"</formula>
    </cfRule>
  </conditionalFormatting>
  <conditionalFormatting sqref="M7:N7">
    <cfRule type="cellIs" dxfId="29" priority="9" operator="equal">
      <formula>"o/s"</formula>
    </cfRule>
  </conditionalFormatting>
  <conditionalFormatting sqref="L5:L1048576">
    <cfRule type="containsText" dxfId="28" priority="6" operator="containsText" text="N">
      <formula>NOT(ISERROR(SEARCH("N",L5)))</formula>
    </cfRule>
    <cfRule type="containsText" dxfId="27" priority="7" operator="containsText" text="Y">
      <formula>NOT(ISERROR(SEARCH("Y",L5)))</formula>
    </cfRule>
  </conditionalFormatting>
  <conditionalFormatting sqref="W5:W1048576">
    <cfRule type="cellIs" dxfId="26" priority="5" operator="greaterThan">
      <formula>1</formula>
    </cfRule>
  </conditionalFormatting>
  <conditionalFormatting sqref="N5:N6">
    <cfRule type="cellIs" dxfId="25" priority="3" operator="lessThan">
      <formula>0</formula>
    </cfRule>
    <cfRule type="cellIs" dxfId="24" priority="4" operator="greaterThan">
      <formula>0</formula>
    </cfRule>
  </conditionalFormatting>
  <conditionalFormatting sqref="M5:O6">
    <cfRule type="containsText" dxfId="23" priority="2" operator="containsText" text="o/s">
      <formula>NOT(ISERROR(SEARCH("o/s",M5)))</formula>
    </cfRule>
  </conditionalFormatting>
  <conditionalFormatting sqref="H5:H6">
    <cfRule type="duplicateValues" dxfId="22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C0D97-C8CC-4B69-A5EE-A7AAC2245B67}">
  <sheetPr codeName="Mapping"/>
  <dimension ref="A1:R51"/>
  <sheetViews>
    <sheetView showGridLines="0" tabSelected="1" zoomScale="85" zoomScaleNormal="85" workbookViewId="0">
      <selection activeCell="F18" sqref="F18:H21"/>
    </sheetView>
  </sheetViews>
  <sheetFormatPr defaultRowHeight="14.5"/>
  <cols>
    <col min="1" max="2" width="17.81640625" customWidth="1"/>
    <col min="10" max="10" width="11.54296875" customWidth="1"/>
    <col min="11" max="11" width="16.54296875" customWidth="1"/>
    <col min="12" max="15" width="17.08984375" customWidth="1"/>
    <col min="16" max="16" width="18.54296875" customWidth="1"/>
  </cols>
  <sheetData>
    <row r="1" spans="1:18">
      <c r="A1" s="48" t="s">
        <v>23</v>
      </c>
      <c r="B1" s="48"/>
    </row>
    <row r="2" spans="1:18">
      <c r="A2" s="7" t="s">
        <v>24</v>
      </c>
      <c r="B2" s="7" t="s">
        <v>25</v>
      </c>
      <c r="K2" s="7" t="s">
        <v>54</v>
      </c>
      <c r="L2" s="11" t="s">
        <v>53</v>
      </c>
    </row>
    <row r="3" spans="1:18">
      <c r="A3" s="3">
        <v>1</v>
      </c>
      <c r="B3" s="3" t="s">
        <v>149</v>
      </c>
    </row>
    <row r="4" spans="1:18">
      <c r="A4" s="3"/>
      <c r="B4" s="3"/>
    </row>
    <row r="5" spans="1:18">
      <c r="A5" s="3"/>
      <c r="B5" s="3"/>
      <c r="K5" s="7" t="s">
        <v>25</v>
      </c>
      <c r="L5" s="10" t="s">
        <v>17</v>
      </c>
      <c r="M5" s="10" t="s">
        <v>18</v>
      </c>
      <c r="N5" s="10" t="s">
        <v>33</v>
      </c>
      <c r="O5" s="10" t="s">
        <v>34</v>
      </c>
      <c r="P5" s="10" t="s">
        <v>35</v>
      </c>
    </row>
    <row r="6" spans="1:18">
      <c r="A6" s="3"/>
      <c r="B6" s="3"/>
      <c r="J6" s="10" t="s">
        <v>36</v>
      </c>
      <c r="K6" s="8" t="s">
        <v>32</v>
      </c>
      <c r="L6" s="8" t="s">
        <v>37</v>
      </c>
      <c r="M6" s="8" t="s">
        <v>46</v>
      </c>
      <c r="N6" s="8" t="s">
        <v>42</v>
      </c>
      <c r="O6" s="8" t="s">
        <v>47</v>
      </c>
      <c r="P6" s="8" t="s">
        <v>44</v>
      </c>
    </row>
    <row r="7" spans="1:18">
      <c r="A7" s="3"/>
      <c r="B7" s="3"/>
    </row>
    <row r="8" spans="1:18">
      <c r="A8" s="3"/>
      <c r="B8" s="3"/>
    </row>
    <row r="9" spans="1:18">
      <c r="A9" s="3"/>
      <c r="B9" s="3"/>
    </row>
    <row r="10" spans="1:18">
      <c r="A10" s="3"/>
      <c r="B10" s="3"/>
    </row>
    <row r="11" spans="1:18">
      <c r="A11" s="3"/>
      <c r="B11" s="3"/>
    </row>
    <row r="12" spans="1:18">
      <c r="A12" s="3"/>
      <c r="B12" s="3"/>
      <c r="L12" s="7" t="s">
        <v>48</v>
      </c>
      <c r="M12" s="59" t="s">
        <v>49</v>
      </c>
      <c r="N12" s="60"/>
      <c r="O12" s="60"/>
      <c r="P12" s="60"/>
      <c r="Q12" s="61"/>
      <c r="R12" s="12"/>
    </row>
    <row r="13" spans="1:18">
      <c r="A13" s="3"/>
      <c r="B13" s="3"/>
      <c r="L13" s="7" t="s">
        <v>50</v>
      </c>
      <c r="M13" s="58" t="s">
        <v>56</v>
      </c>
      <c r="N13" s="58"/>
      <c r="O13" s="58"/>
      <c r="P13" s="58"/>
      <c r="Q13" s="58"/>
    </row>
    <row r="14" spans="1:18">
      <c r="A14" s="3"/>
      <c r="B14" s="3"/>
    </row>
    <row r="15" spans="1:18">
      <c r="A15" s="3"/>
      <c r="B15" s="3"/>
    </row>
    <row r="16" spans="1:18">
      <c r="A16" s="3"/>
      <c r="B16" s="3"/>
    </row>
    <row r="17" spans="1:8" ht="15" thickBot="1">
      <c r="A17" s="3"/>
      <c r="B17" s="3"/>
    </row>
    <row r="18" spans="1:8">
      <c r="A18" s="3"/>
      <c r="B18" s="3"/>
      <c r="F18" s="49" t="s">
        <v>55</v>
      </c>
      <c r="G18" s="50"/>
      <c r="H18" s="51"/>
    </row>
    <row r="19" spans="1:8">
      <c r="A19" s="3"/>
      <c r="B19" s="3"/>
      <c r="F19" s="52"/>
      <c r="G19" s="53"/>
      <c r="H19" s="54"/>
    </row>
    <row r="20" spans="1:8">
      <c r="A20" s="3"/>
      <c r="B20" s="3"/>
      <c r="F20" s="52"/>
      <c r="G20" s="53"/>
      <c r="H20" s="54"/>
    </row>
    <row r="21" spans="1:8" ht="15" thickBot="1">
      <c r="A21" s="3"/>
      <c r="B21" s="3"/>
      <c r="F21" s="55"/>
      <c r="G21" s="56"/>
      <c r="H21" s="57"/>
    </row>
    <row r="22" spans="1:8">
      <c r="A22" s="3"/>
      <c r="B22" s="3"/>
    </row>
    <row r="23" spans="1:8" ht="14.5" customHeight="1">
      <c r="A23" s="3"/>
      <c r="B23" s="3"/>
    </row>
    <row r="24" spans="1:8">
      <c r="A24" s="3"/>
      <c r="B24" s="3"/>
    </row>
    <row r="25" spans="1:8">
      <c r="A25" s="3"/>
      <c r="B25" s="3"/>
    </row>
    <row r="26" spans="1:8">
      <c r="A26" s="3"/>
      <c r="B26" s="3"/>
    </row>
    <row r="27" spans="1:8">
      <c r="A27" s="3"/>
      <c r="B27" s="3"/>
      <c r="F27" s="13"/>
      <c r="G27" s="13"/>
      <c r="H27" s="13"/>
    </row>
    <row r="28" spans="1:8">
      <c r="A28" s="3"/>
      <c r="B28" s="3"/>
      <c r="F28" s="13"/>
      <c r="G28" s="13"/>
      <c r="H28" s="13"/>
    </row>
    <row r="29" spans="1:8">
      <c r="A29" s="3"/>
      <c r="B29" s="3"/>
      <c r="F29" s="13"/>
      <c r="G29" s="13"/>
      <c r="H29" s="13"/>
    </row>
    <row r="30" spans="1:8">
      <c r="A30" s="3"/>
      <c r="B30" s="3"/>
      <c r="F30" s="13"/>
      <c r="G30" s="13"/>
      <c r="H30" s="13"/>
    </row>
    <row r="31" spans="1:8">
      <c r="A31" s="3"/>
      <c r="B31" s="3"/>
      <c r="F31" s="13"/>
      <c r="G31" s="13"/>
      <c r="H31" s="13"/>
    </row>
    <row r="32" spans="1:8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3"/>
      <c r="B35" s="3"/>
    </row>
    <row r="36" spans="1:2">
      <c r="A36" s="3"/>
      <c r="B36" s="3"/>
    </row>
    <row r="37" spans="1:2">
      <c r="A37" s="3"/>
      <c r="B37" s="3"/>
    </row>
    <row r="38" spans="1:2">
      <c r="A38" s="3"/>
      <c r="B38" s="3"/>
    </row>
    <row r="39" spans="1:2">
      <c r="A39" s="3"/>
      <c r="B39" s="3"/>
    </row>
    <row r="40" spans="1:2">
      <c r="A40" s="3"/>
      <c r="B40" s="3"/>
    </row>
    <row r="41" spans="1:2">
      <c r="A41" s="3"/>
      <c r="B41" s="3"/>
    </row>
    <row r="42" spans="1:2">
      <c r="A42" s="3"/>
      <c r="B42" s="3"/>
    </row>
    <row r="43" spans="1:2">
      <c r="A43" s="3"/>
      <c r="B43" s="3"/>
    </row>
    <row r="44" spans="1:2">
      <c r="A44" s="3"/>
      <c r="B44" s="3"/>
    </row>
    <row r="45" spans="1:2">
      <c r="A45" s="3"/>
      <c r="B45" s="3"/>
    </row>
    <row r="46" spans="1:2">
      <c r="A46" s="3"/>
      <c r="B46" s="3"/>
    </row>
    <row r="47" spans="1:2">
      <c r="A47" s="3"/>
      <c r="B47" s="3"/>
    </row>
    <row r="48" spans="1:2">
      <c r="A48" s="3"/>
      <c r="B48" s="3"/>
    </row>
    <row r="49" spans="1:2">
      <c r="A49" s="3"/>
      <c r="B49" s="3"/>
    </row>
    <row r="50" spans="1:2">
      <c r="A50" s="3"/>
      <c r="B50" s="3"/>
    </row>
    <row r="51" spans="1:2">
      <c r="A51" s="3"/>
      <c r="B51" s="3"/>
    </row>
  </sheetData>
  <dataConsolidate/>
  <mergeCells count="4">
    <mergeCell ref="A1:B1"/>
    <mergeCell ref="F18:H21"/>
    <mergeCell ref="M13:Q13"/>
    <mergeCell ref="M12:Q12"/>
  </mergeCells>
  <conditionalFormatting sqref="A1">
    <cfRule type="cellIs" dxfId="21" priority="28" operator="equal">
      <formula>"o/s"</formula>
    </cfRule>
  </conditionalFormatting>
  <conditionalFormatting sqref="A1">
    <cfRule type="cellIs" dxfId="20" priority="27" operator="equal">
      <formula>"No"</formula>
    </cfRule>
  </conditionalFormatting>
  <conditionalFormatting sqref="A3:B18 B19:B21 A19:A51">
    <cfRule type="cellIs" dxfId="19" priority="24" operator="equal">
      <formula>"o/s"</formula>
    </cfRule>
  </conditionalFormatting>
  <conditionalFormatting sqref="A3:B18 B19:B21 A19:A51">
    <cfRule type="cellIs" dxfId="18" priority="23" operator="equal">
      <formula>"No"</formula>
    </cfRule>
  </conditionalFormatting>
  <conditionalFormatting sqref="B22:B32">
    <cfRule type="cellIs" dxfId="17" priority="22" operator="equal">
      <formula>"o/s"</formula>
    </cfRule>
  </conditionalFormatting>
  <conditionalFormatting sqref="B22:B32">
    <cfRule type="cellIs" dxfId="16" priority="21" operator="equal">
      <formula>"No"</formula>
    </cfRule>
  </conditionalFormatting>
  <conditionalFormatting sqref="K6">
    <cfRule type="cellIs" dxfId="15" priority="16" operator="equal">
      <formula>"o/s"</formula>
    </cfRule>
  </conditionalFormatting>
  <conditionalFormatting sqref="K6">
    <cfRule type="cellIs" dxfId="14" priority="15" operator="equal">
      <formula>"No"</formula>
    </cfRule>
  </conditionalFormatting>
  <conditionalFormatting sqref="B33:B51">
    <cfRule type="cellIs" dxfId="13" priority="14" operator="equal">
      <formula>"o/s"</formula>
    </cfRule>
  </conditionalFormatting>
  <conditionalFormatting sqref="B33:B51">
    <cfRule type="cellIs" dxfId="12" priority="13" operator="equal">
      <formula>"No"</formula>
    </cfRule>
  </conditionalFormatting>
  <conditionalFormatting sqref="L2">
    <cfRule type="cellIs" dxfId="11" priority="12" operator="equal">
      <formula>"o/s"</formula>
    </cfRule>
  </conditionalFormatting>
  <conditionalFormatting sqref="L2">
    <cfRule type="cellIs" dxfId="10" priority="11" operator="equal">
      <formula>"No"</formula>
    </cfRule>
  </conditionalFormatting>
  <conditionalFormatting sqref="L6">
    <cfRule type="cellIs" dxfId="9" priority="10" operator="equal">
      <formula>"o/s"</formula>
    </cfRule>
  </conditionalFormatting>
  <conditionalFormatting sqref="L6">
    <cfRule type="cellIs" dxfId="8" priority="9" operator="equal">
      <formula>"No"</formula>
    </cfRule>
  </conditionalFormatting>
  <conditionalFormatting sqref="M6">
    <cfRule type="cellIs" dxfId="7" priority="8" operator="equal">
      <formula>"o/s"</formula>
    </cfRule>
  </conditionalFormatting>
  <conditionalFormatting sqref="M6">
    <cfRule type="cellIs" dxfId="6" priority="7" operator="equal">
      <formula>"No"</formula>
    </cfRule>
  </conditionalFormatting>
  <conditionalFormatting sqref="N6">
    <cfRule type="cellIs" dxfId="5" priority="6" operator="equal">
      <formula>"o/s"</formula>
    </cfRule>
  </conditionalFormatting>
  <conditionalFormatting sqref="N6">
    <cfRule type="cellIs" dxfId="4" priority="5" operator="equal">
      <formula>"No"</formula>
    </cfRule>
  </conditionalFormatting>
  <conditionalFormatting sqref="O6">
    <cfRule type="cellIs" dxfId="3" priority="4" operator="equal">
      <formula>"o/s"</formula>
    </cfRule>
  </conditionalFormatting>
  <conditionalFormatting sqref="O6">
    <cfRule type="cellIs" dxfId="2" priority="3" operator="equal">
      <formula>"No"</formula>
    </cfRule>
  </conditionalFormatting>
  <conditionalFormatting sqref="P6">
    <cfRule type="cellIs" dxfId="1" priority="2" operator="equal">
      <formula>"o/s"</formula>
    </cfRule>
  </conditionalFormatting>
  <conditionalFormatting sqref="P6">
    <cfRule type="cellIs" dxfId="0" priority="1" operator="equal">
      <formula>"No"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97AF0C-B7DB-402B-B274-BA94FC9590DF}">
          <x14:formula1>
            <xm:f>Info!$G$2:$G$3</xm:f>
          </x14:formula1>
          <xm:sqref>L2</xm:sqref>
        </x14:dataValidation>
        <x14:dataValidation type="list" allowBlank="1" showInputMessage="1" showErrorMessage="1" xr:uid="{5A6F1E4B-C848-46D3-8A21-CF2859247B48}">
          <x14:formula1>
            <xm:f>Info!$A$1:$A$104</xm:f>
          </x14:formula1>
          <xm:sqref>K6:P6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793C-C557-45FA-853F-2D500761735B}">
  <sheetPr codeName="Sheet3"/>
  <dimension ref="A1:G104"/>
  <sheetViews>
    <sheetView workbookViewId="0">
      <selection activeCell="G5" sqref="G5"/>
    </sheetView>
  </sheetViews>
  <sheetFormatPr defaultRowHeight="14.5"/>
  <cols>
    <col min="3" max="3" width="17" bestFit="1" customWidth="1"/>
    <col min="4" max="4" width="14.26953125" customWidth="1"/>
    <col min="5" max="5" width="10.54296875" customWidth="1"/>
    <col min="7" max="7" width="11.7265625" customWidth="1"/>
  </cols>
  <sheetData>
    <row r="1" spans="1:7" ht="15" thickBot="1">
      <c r="A1" t="s">
        <v>31</v>
      </c>
      <c r="D1" s="62" t="s">
        <v>38</v>
      </c>
      <c r="E1" s="63"/>
      <c r="G1" s="19" t="s">
        <v>52</v>
      </c>
    </row>
    <row r="2" spans="1:7" ht="15" thickBot="1">
      <c r="A2" t="s">
        <v>32</v>
      </c>
      <c r="D2" s="14" t="s">
        <v>39</v>
      </c>
      <c r="E2" s="15" t="s">
        <v>40</v>
      </c>
      <c r="G2" t="s">
        <v>51</v>
      </c>
    </row>
    <row r="3" spans="1:7">
      <c r="A3" t="s">
        <v>59</v>
      </c>
      <c r="B3" t="str">
        <f>CHAR(2)</f>
        <v>_x0002_</v>
      </c>
      <c r="C3" s="16" t="s">
        <v>17</v>
      </c>
      <c r="D3" s="20" t="s">
        <v>41</v>
      </c>
      <c r="E3" s="21" t="str">
        <f>'Lista Funduszy'!L6</f>
        <v>D</v>
      </c>
      <c r="G3" t="s">
        <v>53</v>
      </c>
    </row>
    <row r="4" spans="1:7">
      <c r="A4" t="s">
        <v>37</v>
      </c>
      <c r="C4" s="17" t="s">
        <v>18</v>
      </c>
      <c r="D4" s="22" t="s">
        <v>42</v>
      </c>
      <c r="E4" s="23" t="str">
        <f>'Lista Funduszy'!M6</f>
        <v>F</v>
      </c>
    </row>
    <row r="5" spans="1:7">
      <c r="A5" t="s">
        <v>41</v>
      </c>
      <c r="C5" s="17" t="s">
        <v>33</v>
      </c>
      <c r="D5" s="22" t="s">
        <v>43</v>
      </c>
      <c r="E5" s="23" t="str">
        <f>'Lista Funduszy'!N6</f>
        <v>H</v>
      </c>
    </row>
    <row r="6" spans="1:7">
      <c r="A6" t="s">
        <v>46</v>
      </c>
      <c r="C6" s="17" t="s">
        <v>34</v>
      </c>
      <c r="D6" s="22" t="s">
        <v>44</v>
      </c>
      <c r="E6" s="23" t="str">
        <f>'Lista Funduszy'!O6</f>
        <v>G</v>
      </c>
    </row>
    <row r="7" spans="1:7" ht="15" thickBot="1">
      <c r="A7" t="s">
        <v>47</v>
      </c>
      <c r="C7" s="18" t="s">
        <v>35</v>
      </c>
      <c r="D7" s="14" t="s">
        <v>45</v>
      </c>
      <c r="E7" s="24" t="str">
        <f>'Lista Funduszy'!P6</f>
        <v>J</v>
      </c>
    </row>
    <row r="8" spans="1:7">
      <c r="A8" t="s">
        <v>42</v>
      </c>
    </row>
    <row r="9" spans="1:7">
      <c r="A9" t="s">
        <v>43</v>
      </c>
    </row>
    <row r="10" spans="1:7">
      <c r="A10" t="s">
        <v>44</v>
      </c>
    </row>
    <row r="11" spans="1:7">
      <c r="A11" t="s">
        <v>45</v>
      </c>
    </row>
    <row r="12" spans="1:7">
      <c r="A12" t="s">
        <v>60</v>
      </c>
    </row>
    <row r="13" spans="1:7">
      <c r="A13" t="s">
        <v>61</v>
      </c>
    </row>
    <row r="14" spans="1:7">
      <c r="A14" t="s">
        <v>53</v>
      </c>
    </row>
    <row r="15" spans="1:7">
      <c r="A15" t="s">
        <v>62</v>
      </c>
    </row>
    <row r="16" spans="1:7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67</v>
      </c>
    </row>
    <row r="21" spans="1:1">
      <c r="A21" t="s">
        <v>68</v>
      </c>
    </row>
    <row r="22" spans="1:1">
      <c r="A22" t="s">
        <v>69</v>
      </c>
    </row>
    <row r="23" spans="1:1">
      <c r="A23" t="s">
        <v>70</v>
      </c>
    </row>
    <row r="24" spans="1:1">
      <c r="A24" t="s">
        <v>71</v>
      </c>
    </row>
    <row r="25" spans="1:1">
      <c r="A25" t="s">
        <v>51</v>
      </c>
    </row>
    <row r="26" spans="1:1">
      <c r="A26" t="s">
        <v>72</v>
      </c>
    </row>
    <row r="27" spans="1:1">
      <c r="A27" t="s">
        <v>57</v>
      </c>
    </row>
    <row r="28" spans="1:1">
      <c r="A28" t="s">
        <v>58</v>
      </c>
    </row>
    <row r="29" spans="1:1">
      <c r="A29" t="s">
        <v>73</v>
      </c>
    </row>
    <row r="30" spans="1:1">
      <c r="A30" t="s">
        <v>74</v>
      </c>
    </row>
    <row r="31" spans="1:1">
      <c r="A31" t="s">
        <v>75</v>
      </c>
    </row>
    <row r="32" spans="1:1">
      <c r="A32" t="s">
        <v>76</v>
      </c>
    </row>
    <row r="33" spans="1:1">
      <c r="A33" t="s">
        <v>77</v>
      </c>
    </row>
    <row r="34" spans="1:1">
      <c r="A34" t="s">
        <v>78</v>
      </c>
    </row>
    <row r="35" spans="1:1">
      <c r="A35" t="s">
        <v>79</v>
      </c>
    </row>
    <row r="36" spans="1:1">
      <c r="A36" t="s">
        <v>80</v>
      </c>
    </row>
    <row r="37" spans="1:1">
      <c r="A37" t="s">
        <v>81</v>
      </c>
    </row>
    <row r="38" spans="1:1">
      <c r="A38" t="s">
        <v>82</v>
      </c>
    </row>
    <row r="39" spans="1:1">
      <c r="A39" t="s">
        <v>83</v>
      </c>
    </row>
    <row r="40" spans="1:1">
      <c r="A40" t="s">
        <v>84</v>
      </c>
    </row>
    <row r="41" spans="1:1">
      <c r="A41" t="s">
        <v>85</v>
      </c>
    </row>
    <row r="42" spans="1:1">
      <c r="A42" t="s">
        <v>86</v>
      </c>
    </row>
    <row r="43" spans="1:1">
      <c r="A43" t="s">
        <v>87</v>
      </c>
    </row>
    <row r="44" spans="1:1">
      <c r="A44" t="s">
        <v>88</v>
      </c>
    </row>
    <row r="45" spans="1:1">
      <c r="A45" t="s">
        <v>89</v>
      </c>
    </row>
    <row r="46" spans="1:1">
      <c r="A46" t="s">
        <v>90</v>
      </c>
    </row>
    <row r="47" spans="1:1">
      <c r="A47" t="s">
        <v>91</v>
      </c>
    </row>
    <row r="48" spans="1:1">
      <c r="A48" t="s">
        <v>92</v>
      </c>
    </row>
    <row r="49" spans="1:1">
      <c r="A49" t="s">
        <v>93</v>
      </c>
    </row>
    <row r="50" spans="1:1">
      <c r="A50" t="s">
        <v>94</v>
      </c>
    </row>
    <row r="51" spans="1:1">
      <c r="A51" t="s">
        <v>95</v>
      </c>
    </row>
    <row r="52" spans="1:1">
      <c r="A52" t="s">
        <v>96</v>
      </c>
    </row>
    <row r="53" spans="1:1">
      <c r="A53" t="s">
        <v>97</v>
      </c>
    </row>
    <row r="54" spans="1:1">
      <c r="A54" t="s">
        <v>98</v>
      </c>
    </row>
    <row r="55" spans="1:1">
      <c r="A55" t="s">
        <v>99</v>
      </c>
    </row>
    <row r="56" spans="1:1">
      <c r="A56" t="s">
        <v>100</v>
      </c>
    </row>
    <row r="57" spans="1:1">
      <c r="A57" t="s">
        <v>101</v>
      </c>
    </row>
    <row r="58" spans="1:1">
      <c r="A58" t="s">
        <v>102</v>
      </c>
    </row>
    <row r="59" spans="1:1">
      <c r="A59" t="s">
        <v>103</v>
      </c>
    </row>
    <row r="60" spans="1:1">
      <c r="A60" t="s">
        <v>104</v>
      </c>
    </row>
    <row r="61" spans="1:1">
      <c r="A61" t="s">
        <v>105</v>
      </c>
    </row>
    <row r="62" spans="1:1">
      <c r="A62" t="s">
        <v>106</v>
      </c>
    </row>
    <row r="63" spans="1:1">
      <c r="A63" t="s">
        <v>107</v>
      </c>
    </row>
    <row r="64" spans="1:1">
      <c r="A64" t="s">
        <v>108</v>
      </c>
    </row>
    <row r="65" spans="1:1">
      <c r="A65" t="s">
        <v>109</v>
      </c>
    </row>
    <row r="66" spans="1:1">
      <c r="A66" t="s">
        <v>110</v>
      </c>
    </row>
    <row r="67" spans="1:1">
      <c r="A67" t="s">
        <v>111</v>
      </c>
    </row>
    <row r="68" spans="1:1">
      <c r="A68" t="s">
        <v>112</v>
      </c>
    </row>
    <row r="69" spans="1:1">
      <c r="A69" t="s">
        <v>113</v>
      </c>
    </row>
    <row r="70" spans="1:1">
      <c r="A70" t="s">
        <v>114</v>
      </c>
    </row>
    <row r="71" spans="1:1">
      <c r="A71" t="s">
        <v>115</v>
      </c>
    </row>
    <row r="72" spans="1:1">
      <c r="A72" t="s">
        <v>116</v>
      </c>
    </row>
    <row r="73" spans="1:1">
      <c r="A73" t="s">
        <v>117</v>
      </c>
    </row>
    <row r="74" spans="1:1">
      <c r="A74" t="s">
        <v>118</v>
      </c>
    </row>
    <row r="75" spans="1:1">
      <c r="A75" t="s">
        <v>119</v>
      </c>
    </row>
    <row r="76" spans="1:1">
      <c r="A76" t="s">
        <v>120</v>
      </c>
    </row>
    <row r="77" spans="1:1">
      <c r="A77" t="s">
        <v>121</v>
      </c>
    </row>
    <row r="78" spans="1:1">
      <c r="A78" t="s">
        <v>122</v>
      </c>
    </row>
    <row r="79" spans="1:1">
      <c r="A79" t="s">
        <v>123</v>
      </c>
    </row>
    <row r="80" spans="1:1">
      <c r="A80" t="s">
        <v>124</v>
      </c>
    </row>
    <row r="81" spans="1:1">
      <c r="A81" t="s">
        <v>125</v>
      </c>
    </row>
    <row r="82" spans="1:1">
      <c r="A82" t="s">
        <v>126</v>
      </c>
    </row>
    <row r="83" spans="1:1">
      <c r="A83" t="s">
        <v>127</v>
      </c>
    </row>
    <row r="84" spans="1:1">
      <c r="A84" t="s">
        <v>128</v>
      </c>
    </row>
    <row r="85" spans="1:1">
      <c r="A85" t="s">
        <v>129</v>
      </c>
    </row>
    <row r="86" spans="1:1">
      <c r="A86" t="s">
        <v>130</v>
      </c>
    </row>
    <row r="87" spans="1:1">
      <c r="A87" t="s">
        <v>131</v>
      </c>
    </row>
    <row r="88" spans="1:1">
      <c r="A88" t="s">
        <v>132</v>
      </c>
    </row>
    <row r="89" spans="1:1">
      <c r="A89" t="s">
        <v>133</v>
      </c>
    </row>
    <row r="90" spans="1:1">
      <c r="A90" t="s">
        <v>134</v>
      </c>
    </row>
    <row r="91" spans="1:1">
      <c r="A91" t="s">
        <v>135</v>
      </c>
    </row>
    <row r="92" spans="1:1">
      <c r="A92" t="s">
        <v>136</v>
      </c>
    </row>
    <row r="93" spans="1:1">
      <c r="A93" t="s">
        <v>137</v>
      </c>
    </row>
    <row r="94" spans="1:1">
      <c r="A94" t="s">
        <v>138</v>
      </c>
    </row>
    <row r="95" spans="1:1">
      <c r="A95" t="s">
        <v>139</v>
      </c>
    </row>
    <row r="96" spans="1:1">
      <c r="A96" t="s">
        <v>140</v>
      </c>
    </row>
    <row r="97" spans="1:1">
      <c r="A97" t="s">
        <v>141</v>
      </c>
    </row>
    <row r="98" spans="1:1">
      <c r="A98" t="s">
        <v>142</v>
      </c>
    </row>
    <row r="99" spans="1:1">
      <c r="A99" t="s">
        <v>143</v>
      </c>
    </row>
    <row r="100" spans="1:1">
      <c r="A100" t="s">
        <v>144</v>
      </c>
    </row>
    <row r="101" spans="1:1">
      <c r="A101" t="s">
        <v>145</v>
      </c>
    </row>
    <row r="102" spans="1:1">
      <c r="A102" t="s">
        <v>146</v>
      </c>
    </row>
    <row r="103" spans="1:1">
      <c r="A103" t="s">
        <v>147</v>
      </c>
    </row>
    <row r="104" spans="1:1">
      <c r="A104" t="s">
        <v>148</v>
      </c>
    </row>
  </sheetData>
  <mergeCells count="1"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Template</vt:lpstr>
      <vt:lpstr>Lista Funduszy</vt:lpstr>
      <vt:lpstr>FirstFundNr</vt:lpstr>
      <vt:lpstr>FRVesrion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Patrycja Nadolska</dc:creator>
  <cp:lastModifiedBy>Patryk </cp:lastModifiedBy>
  <dcterms:created xsi:type="dcterms:W3CDTF">2019-12-11T12:39:08Z</dcterms:created>
  <dcterms:modified xsi:type="dcterms:W3CDTF">2020-03-05T07:35:14Z</dcterms:modified>
</cp:coreProperties>
</file>